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lusnikov/Downloads/"/>
    </mc:Choice>
  </mc:AlternateContent>
  <xr:revisionPtr revIDLastSave="0" documentId="8_{826AFA5D-D0FA-5F42-B986-F65DBAABC4BA}" xr6:coauthVersionLast="47" xr6:coauthVersionMax="47" xr10:uidLastSave="{00000000-0000-0000-0000-000000000000}"/>
  <bookViews>
    <workbookView xWindow="0" yWindow="660" windowWidth="28120" windowHeight="18460" xr2:uid="{00000000-000D-0000-FFFF-FFFF00000000}"/>
  </bookViews>
  <sheets>
    <sheet name="Калькулятор" sheetId="1" r:id="rId1"/>
    <sheet name="Пакеты" sheetId="2" r:id="rId2"/>
    <sheet name="Конверсии" sheetId="3" r:id="rId3"/>
    <sheet name="Рынок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24" i="1"/>
  <c r="B25" i="1" s="1"/>
  <c r="D7" i="1" s="1"/>
  <c r="B13" i="1"/>
  <c r="B12" i="1"/>
  <c r="B11" i="1"/>
  <c r="F15" i="1" l="1"/>
  <c r="E7" i="1"/>
  <c r="F7" i="1" s="1"/>
  <c r="E18" i="1" s="1"/>
  <c r="E15" i="1"/>
  <c r="B9" i="1"/>
  <c r="F27" i="1"/>
  <c r="D9" i="1"/>
  <c r="F29" i="1"/>
  <c r="G9" i="1"/>
  <c r="F28" i="1"/>
  <c r="E9" i="1" l="1"/>
  <c r="E16" i="1"/>
  <c r="F16" i="1"/>
  <c r="E29" i="1"/>
  <c r="G29" i="1" s="1"/>
  <c r="F19" i="1"/>
  <c r="G20" i="1" s="1"/>
  <c r="G7" i="1"/>
  <c r="E28" i="1"/>
  <c r="G28" i="1" s="1"/>
  <c r="G22" i="1" l="1"/>
  <c r="G21" i="1"/>
  <c r="G16" i="1"/>
  <c r="F17" i="1"/>
  <c r="F9" i="1"/>
  <c r="E27" i="1" l="1"/>
  <c r="G27" i="1" s="1"/>
  <c r="D11" i="1"/>
</calcChain>
</file>

<file path=xl/sharedStrings.xml><?xml version="1.0" encoding="utf-8"?>
<sst xmlns="http://schemas.openxmlformats.org/spreadsheetml/2006/main" count="104" uniqueCount="94">
  <si>
    <t>Калькулятор эффекта ИИ Рекрутера для массового найма</t>
  </si>
  <si>
    <t>Входы</t>
  </si>
  <si>
    <t>Значение</t>
  </si>
  <si>
    <t>Эффект за купленные минуты</t>
  </si>
  <si>
    <t>Регион тарифа</t>
  </si>
  <si>
    <t>Ин.яз + РУ</t>
  </si>
  <si>
    <t>Попытки звонка</t>
  </si>
  <si>
    <t>Дозвон / контакт</t>
  </si>
  <si>
    <t>Содержательные интервью</t>
  </si>
  <si>
    <t>Релевантные кандидаты</t>
  </si>
  <si>
    <t>Тарифицируемые минуты</t>
  </si>
  <si>
    <t>Цена AI, ₽</t>
  </si>
  <si>
    <t>Цена ИИ Рекрутера</t>
  </si>
  <si>
    <t>Цена интервью</t>
  </si>
  <si>
    <t>Цена релевантного</t>
  </si>
  <si>
    <t>Цена / 1000 касаний</t>
  </si>
  <si>
    <t>Цена минуты AI, ₽</t>
  </si>
  <si>
    <t>Сценарий конверсий</t>
  </si>
  <si>
    <t>Стандартный</t>
  </si>
  <si>
    <t>Попытка -&gt; контакт</t>
  </si>
  <si>
    <t>Контакт -&gt; интервью</t>
  </si>
  <si>
    <t>Интервью -&gt; релевантный</t>
  </si>
  <si>
    <t>Экономия и нагрузка</t>
  </si>
  <si>
    <t>Попыток звонков на 10 000 минут</t>
  </si>
  <si>
    <t>Метрика</t>
  </si>
  <si>
    <t>Ручной процесс</t>
  </si>
  <si>
    <t>С ИИ Рекрутером</t>
  </si>
  <si>
    <t>Эффект</t>
  </si>
  <si>
    <t>База кандидатов, шт</t>
  </si>
  <si>
    <t>Первичные касания</t>
  </si>
  <si>
    <t>снято с HR</t>
  </si>
  <si>
    <t>Минут на ручную попытку</t>
  </si>
  <si>
    <t>Минут на ручное интервью</t>
  </si>
  <si>
    <t>рекрутер считает вручную</t>
  </si>
  <si>
    <t>готовый список для просмотра</t>
  </si>
  <si>
    <t>Стоимость рекрутера в месяц, ₽</t>
  </si>
  <si>
    <t>Ручная нагрузка без AI, ч</t>
  </si>
  <si>
    <t>до AI-контроля</t>
  </si>
  <si>
    <t>Рабочих часов в месяц</t>
  </si>
  <si>
    <t>AI-контроль интервью, ч</t>
  </si>
  <si>
    <t>остаётся у HR/контроля качества</t>
  </si>
  <si>
    <t>Проверка на интервью, мин</t>
  </si>
  <si>
    <t>Снятые HR-часы нетто</t>
  </si>
  <si>
    <t>Стоимость снятых HR-часов, ₽</t>
  </si>
  <si>
    <t>FTE (эквивалент полной занятости штатных единиц), мес</t>
  </si>
  <si>
    <t>Кандидатов можно обзвонить на пакет</t>
  </si>
  <si>
    <t>Фактически к обзвону по модели</t>
  </si>
  <si>
    <t>Сравнение с рынком</t>
  </si>
  <si>
    <t>Альтернатива</t>
  </si>
  <si>
    <t>Стоимость альтернативы</t>
  </si>
  <si>
    <t>Цена AI</t>
  </si>
  <si>
    <t>Выгода, руб</t>
  </si>
  <si>
    <t>Рыночные альтернативы</t>
  </si>
  <si>
    <t>Штатный HR: снятые часы</t>
  </si>
  <si>
    <t>КЦ, ₽/мин ручной работы</t>
  </si>
  <si>
    <t>КЦ по минутам</t>
  </si>
  <si>
    <t>AI-интервьюер SaaS, ₽/интервью</t>
  </si>
  <si>
    <t xml:space="preserve">AI-интервьюер SaaS </t>
  </si>
  <si>
    <t>Тарифная сетка AI Recruiter</t>
  </si>
  <si>
    <t>Порог от, мин</t>
  </si>
  <si>
    <t>Пакет минут</t>
  </si>
  <si>
    <t>Ин.яз + РУ, ₽/мин</t>
  </si>
  <si>
    <t>СНГ, ₽/мин</t>
  </si>
  <si>
    <t>Фикс. цена Ин.яз + РУ</t>
  </si>
  <si>
    <t>Фикс. цена СНГ</t>
  </si>
  <si>
    <t>Комментарий</t>
  </si>
  <si>
    <t>До 10 000</t>
  </si>
  <si>
    <t>стартовый пакет / 3 месяца</t>
  </si>
  <si>
    <t>10 001-30 000</t>
  </si>
  <si>
    <t>поминутная цена</t>
  </si>
  <si>
    <t>30 001-50 000</t>
  </si>
  <si>
    <t>50 001-100 000</t>
  </si>
  <si>
    <t>100 001-150 000</t>
  </si>
  <si>
    <t>150 001-200 000</t>
  </si>
  <si>
    <t>200 000+</t>
  </si>
  <si>
    <t>Сценарии конверсий</t>
  </si>
  <si>
    <t>Сценарий</t>
  </si>
  <si>
    <t>Попытка -&gt; интервью</t>
  </si>
  <si>
    <t>Попытка -&gt; релевантный</t>
  </si>
  <si>
    <t>Стандартный = текущая конверсия в "среднем по больнице"</t>
  </si>
  <si>
    <t>Пессимистичный</t>
  </si>
  <si>
    <t>Слышал от "Авито работа" что у них у людей в КЦ 7-8% конверсия (Попытка -&gt; релевантный)</t>
  </si>
  <si>
    <t>Конверсия в 2 раза ниже, но люди КЦ в 5 раз дороже</t>
  </si>
  <si>
    <t>Рыночные ориентиры для сравнения</t>
  </si>
  <si>
    <t>Категория</t>
  </si>
  <si>
    <t>Рынок</t>
  </si>
  <si>
    <t>Единица</t>
  </si>
  <si>
    <t>₽/мес</t>
  </si>
  <si>
    <t>ФОТ-подход: стоимость снятых часов = часы * 80 000 / 160.</t>
  </si>
  <si>
    <t>₽/мин ручной работы</t>
  </si>
  <si>
    <t>Ручные минуты = попытки * минута на попытку + интервью * минут на интервью.</t>
  </si>
  <si>
    <t>AI-интервьюер SaaS</t>
  </si>
  <si>
    <t>₽/интервью</t>
  </si>
  <si>
    <t>Средний чек по SaaS продуктам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</si>
</sst>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0.0%"/>
    <numFmt numFmtId="165" formatCode="0.0"/>
    <numFmt numFmtId="166" formatCode="_-* #,##0\ &quot;₽&quot;_-;\-* #,##0\ &quot;₽&quot;_-;_-* &quot;-&quot;??\ &quot;₽&quot;_-;_-@_-"/>
  </numFmts>
  <fonts count="11">
    <font>
      <sz val="11"/>
      <name val="Carlito"/>
    </font>
    <font>
      <b/>
      <sz val="20"/>
      <color rgb="FFFFFFFF"/>
      <name val="Aptos"/>
    </font>
    <font>
      <b/>
      <sz val="11"/>
      <color rgb="FFFFFFFF"/>
      <name val="Aptos"/>
    </font>
    <font>
      <b/>
      <sz val="10"/>
      <color rgb="FF17212B"/>
      <name val="Aptos"/>
    </font>
    <font>
      <sz val="10"/>
      <color rgb="FF17212B"/>
      <name val="Aptos"/>
    </font>
    <font>
      <b/>
      <sz val="10"/>
      <color rgb="FFFFFFFF"/>
      <name val="Aptos"/>
    </font>
    <font>
      <sz val="11"/>
      <name val="Carlito"/>
    </font>
    <font>
      <b/>
      <sz val="14"/>
      <color rgb="FF17212B"/>
      <name val="Aptos"/>
    </font>
    <font>
      <b/>
      <sz val="12"/>
      <color rgb="FF17212B"/>
      <name val="Aptos"/>
    </font>
    <font>
      <b/>
      <sz val="10"/>
      <color theme="0"/>
      <name val="Aptos"/>
    </font>
    <font>
      <sz val="11"/>
      <color rgb="FF000000"/>
      <name val="Carlito"/>
      <charset val="1"/>
    </font>
  </fonts>
  <fills count="7">
    <fill>
      <patternFill patternType="none"/>
    </fill>
    <fill>
      <patternFill patternType="gray125"/>
    </fill>
    <fill>
      <patternFill patternType="solid">
        <fgColor rgb="FF2563A7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EAF3FF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rgb="FF2563A7"/>
      </left>
      <right style="thin">
        <color rgb="FF2563A7"/>
      </right>
      <top style="thin">
        <color rgb="FF2563A7"/>
      </top>
      <bottom style="thin">
        <color rgb="FF2563A7"/>
      </bottom>
      <diagonal/>
    </border>
    <border>
      <left style="thin">
        <color rgb="FFD9E0E8"/>
      </left>
      <right style="thin">
        <color rgb="FFD9E0E8"/>
      </right>
      <top style="thin">
        <color rgb="FFD9E0E8"/>
      </top>
      <bottom style="thin">
        <color rgb="FFD9E0E8"/>
      </bottom>
      <diagonal/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D9E0E8"/>
      </bottom>
      <diagonal/>
    </border>
    <border>
      <left style="thin">
        <color rgb="FFF1C232"/>
      </left>
      <right style="thin">
        <color rgb="FFF1C232"/>
      </right>
      <top style="thin">
        <color rgb="FFD9E0E8"/>
      </top>
      <bottom style="thin">
        <color rgb="FFF1C232"/>
      </bottom>
      <diagonal/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  <diagonal/>
    </border>
    <border>
      <left style="thin">
        <color rgb="FFF1C232"/>
      </left>
      <right style="thin">
        <color rgb="FFF1C232"/>
      </right>
      <top style="thin">
        <color rgb="FFD9E0E8"/>
      </top>
      <bottom style="thin">
        <color rgb="FFD9E0E8"/>
      </bottom>
      <diagonal/>
    </border>
    <border>
      <left style="thin">
        <color rgb="FFD9E0E8"/>
      </left>
      <right/>
      <top style="thin">
        <color rgb="FFD9E0E8"/>
      </top>
      <bottom/>
      <diagonal/>
    </border>
    <border>
      <left/>
      <right/>
      <top style="thin">
        <color rgb="FFD9E0E8"/>
      </top>
      <bottom/>
      <diagonal/>
    </border>
    <border>
      <left/>
      <right style="thin">
        <color rgb="FFD9E0E8"/>
      </right>
      <top style="thin">
        <color rgb="FFD9E0E8"/>
      </top>
      <bottom/>
      <diagonal/>
    </border>
    <border>
      <left style="thin">
        <color rgb="FFD9E0E8"/>
      </left>
      <right/>
      <top/>
      <bottom/>
      <diagonal/>
    </border>
    <border>
      <left/>
      <right style="thin">
        <color rgb="FFD9E0E8"/>
      </right>
      <top/>
      <bottom/>
      <diagonal/>
    </border>
    <border>
      <left style="thin">
        <color rgb="FFD9E0E8"/>
      </left>
      <right/>
      <top/>
      <bottom style="thin">
        <color rgb="FFD9E0E8"/>
      </bottom>
      <diagonal/>
    </border>
    <border>
      <left/>
      <right/>
      <top/>
      <bottom style="thin">
        <color rgb="FFD9E0E8"/>
      </bottom>
      <diagonal/>
    </border>
    <border>
      <left/>
      <right style="thin">
        <color rgb="FFD9E0E8"/>
      </right>
      <top/>
      <bottom style="thin">
        <color rgb="FFD9E0E8"/>
      </bottom>
      <diagonal/>
    </border>
    <border>
      <left style="thin">
        <color rgb="FFD9E0E8"/>
      </left>
      <right/>
      <top style="thin">
        <color rgb="FFD9E0E8"/>
      </top>
      <bottom style="thin">
        <color rgb="FFD9E0E8"/>
      </bottom>
      <diagonal/>
    </border>
    <border>
      <left/>
      <right/>
      <top style="thin">
        <color rgb="FFD9E0E8"/>
      </top>
      <bottom style="thin">
        <color rgb="FFD9E0E8"/>
      </bottom>
      <diagonal/>
    </border>
    <border>
      <left/>
      <right style="thin">
        <color rgb="FFD9E0E8"/>
      </right>
      <top style="thin">
        <color rgb="FFD9E0E8"/>
      </top>
      <bottom style="thin">
        <color rgb="FFD9E0E8"/>
      </bottom>
      <diagonal/>
    </border>
    <border>
      <left style="thin">
        <color rgb="FFF1C232"/>
      </left>
      <right style="thin">
        <color rgb="FFD9E0E8"/>
      </right>
      <top style="thin">
        <color rgb="FFF1C232"/>
      </top>
      <bottom style="thin">
        <color rgb="FFD9E0E8"/>
      </bottom>
      <diagonal/>
    </border>
    <border>
      <left style="thin">
        <color rgb="FFD9E0E8"/>
      </left>
      <right style="thin">
        <color rgb="FFD9E0E8"/>
      </right>
      <top style="thin">
        <color rgb="FFF1C232"/>
      </top>
      <bottom style="thin">
        <color rgb="FFD9E0E8"/>
      </bottom>
      <diagonal/>
    </border>
    <border>
      <left style="thin">
        <color rgb="FFD9E0E8"/>
      </left>
      <right style="thin">
        <color rgb="FFF1C232"/>
      </right>
      <top style="thin">
        <color rgb="FFF1C232"/>
      </top>
      <bottom style="thin">
        <color rgb="FFD9E0E8"/>
      </bottom>
      <diagonal/>
    </border>
    <border>
      <left style="thin">
        <color rgb="FFF1C232"/>
      </left>
      <right style="thin">
        <color rgb="FFD9E0E8"/>
      </right>
      <top style="thin">
        <color rgb="FFD9E0E8"/>
      </top>
      <bottom style="thin">
        <color rgb="FFF1C232"/>
      </bottom>
      <diagonal/>
    </border>
    <border>
      <left style="thin">
        <color rgb="FFD9E0E8"/>
      </left>
      <right style="thin">
        <color rgb="FFD9E0E8"/>
      </right>
      <top style="thin">
        <color rgb="FFD9E0E8"/>
      </top>
      <bottom style="thin">
        <color rgb="FFF1C232"/>
      </bottom>
      <diagonal/>
    </border>
    <border>
      <left style="thin">
        <color rgb="FFD9E0E8"/>
      </left>
      <right style="thin">
        <color rgb="FFF1C232"/>
      </right>
      <top style="thin">
        <color rgb="FFD9E0E8"/>
      </top>
      <bottom style="thin">
        <color rgb="FFF1C232"/>
      </bottom>
      <diagonal/>
    </border>
    <border>
      <left style="thin">
        <color rgb="FFD9E0E8"/>
      </left>
      <right style="thin">
        <color rgb="FFD9E0E8"/>
      </right>
      <top style="thin">
        <color rgb="FFD9E0E8"/>
      </top>
      <bottom/>
      <diagonal/>
    </border>
    <border>
      <left style="thin">
        <color rgb="FFD9E0E8"/>
      </left>
      <right style="thin">
        <color rgb="FFD9E0E8"/>
      </right>
      <top/>
      <bottom/>
      <diagonal/>
    </border>
    <border>
      <left style="thin">
        <color rgb="FFD9E0E8"/>
      </left>
      <right style="thin">
        <color rgb="FFD9E0E8"/>
      </right>
      <top/>
      <bottom style="thin">
        <color rgb="FFD9E0E8"/>
      </bottom>
      <diagonal/>
    </border>
  </borders>
  <cellStyleXfs count="3">
    <xf numFmtId="0" fontId="0" fillId="0" borderId="0"/>
    <xf numFmtId="0" fontId="6" fillId="0" borderId="0"/>
    <xf numFmtId="44" fontId="6" fillId="0" borderId="0" applyFont="0" applyFill="0" applyBorder="0" applyAlignment="0" applyProtection="0"/>
  </cellStyleXfs>
  <cellXfs count="53">
    <xf numFmtId="0" fontId="0" fillId="0" borderId="0" xfId="0"/>
    <xf numFmtId="0" fontId="0" fillId="0" borderId="2" xfId="1" applyFont="1" applyBorder="1" applyAlignment="1">
      <alignment wrapText="1"/>
    </xf>
    <xf numFmtId="0" fontId="2" fillId="2" borderId="2" xfId="1" applyFont="1" applyFill="1" applyBorder="1" applyAlignment="1">
      <alignment wrapText="1"/>
    </xf>
    <xf numFmtId="3" fontId="0" fillId="0" borderId="2" xfId="1" applyNumberFormat="1" applyFont="1" applyBorder="1" applyAlignment="1">
      <alignment wrapText="1"/>
    </xf>
    <xf numFmtId="0" fontId="4" fillId="0" borderId="0" xfId="1" applyFont="1"/>
    <xf numFmtId="0" fontId="4" fillId="0" borderId="2" xfId="1" applyFont="1" applyBorder="1" applyAlignment="1">
      <alignment wrapText="1"/>
    </xf>
    <xf numFmtId="0" fontId="4" fillId="4" borderId="3" xfId="1" applyFont="1" applyFill="1" applyBorder="1" applyAlignment="1">
      <alignment wrapText="1"/>
    </xf>
    <xf numFmtId="3" fontId="4" fillId="4" borderId="4" xfId="1" applyNumberFormat="1" applyFont="1" applyFill="1" applyBorder="1" applyAlignment="1">
      <alignment wrapText="1"/>
    </xf>
    <xf numFmtId="3" fontId="3" fillId="5" borderId="2" xfId="1" applyNumberFormat="1" applyFont="1" applyFill="1" applyBorder="1" applyAlignment="1">
      <alignment wrapText="1"/>
    </xf>
    <xf numFmtId="0" fontId="4" fillId="4" borderId="5" xfId="1" applyFont="1" applyFill="1" applyBorder="1" applyAlignment="1">
      <alignment wrapText="1"/>
    </xf>
    <xf numFmtId="164" fontId="4" fillId="0" borderId="2" xfId="1" applyNumberFormat="1" applyFont="1" applyBorder="1" applyAlignment="1">
      <alignment wrapText="1"/>
    </xf>
    <xf numFmtId="3" fontId="4" fillId="4" borderId="3" xfId="1" applyNumberFormat="1" applyFont="1" applyFill="1" applyBorder="1" applyAlignment="1">
      <alignment wrapText="1"/>
    </xf>
    <xf numFmtId="3" fontId="4" fillId="4" borderId="6" xfId="1" applyNumberFormat="1" applyFont="1" applyFill="1" applyBorder="1" applyAlignment="1">
      <alignment wrapText="1"/>
    </xf>
    <xf numFmtId="165" fontId="4" fillId="4" borderId="6" xfId="1" applyNumberFormat="1" applyFont="1" applyFill="1" applyBorder="1" applyAlignment="1">
      <alignment wrapText="1"/>
    </xf>
    <xf numFmtId="1" fontId="4" fillId="4" borderId="6" xfId="1" applyNumberFormat="1" applyFont="1" applyFill="1" applyBorder="1" applyAlignment="1">
      <alignment wrapText="1"/>
    </xf>
    <xf numFmtId="0" fontId="5" fillId="2" borderId="1" xfId="1" applyFont="1" applyFill="1" applyBorder="1" applyAlignment="1">
      <alignment wrapText="1"/>
    </xf>
    <xf numFmtId="164" fontId="0" fillId="4" borderId="18" xfId="1" applyNumberFormat="1" applyFont="1" applyFill="1" applyBorder="1" applyAlignment="1">
      <alignment wrapText="1"/>
    </xf>
    <xf numFmtId="164" fontId="0" fillId="4" borderId="19" xfId="1" applyNumberFormat="1" applyFont="1" applyFill="1" applyBorder="1" applyAlignment="1">
      <alignment wrapText="1"/>
    </xf>
    <xf numFmtId="164" fontId="0" fillId="4" borderId="20" xfId="1" applyNumberFormat="1" applyFont="1" applyFill="1" applyBorder="1" applyAlignment="1">
      <alignment wrapText="1"/>
    </xf>
    <xf numFmtId="164" fontId="0" fillId="4" borderId="21" xfId="1" applyNumberFormat="1" applyFont="1" applyFill="1" applyBorder="1" applyAlignment="1">
      <alignment wrapText="1"/>
    </xf>
    <xf numFmtId="164" fontId="0" fillId="4" borderId="22" xfId="1" applyNumberFormat="1" applyFont="1" applyFill="1" applyBorder="1" applyAlignment="1">
      <alignment wrapText="1"/>
    </xf>
    <xf numFmtId="164" fontId="0" fillId="4" borderId="23" xfId="1" applyNumberFormat="1" applyFont="1" applyFill="1" applyBorder="1" applyAlignment="1">
      <alignment wrapText="1"/>
    </xf>
    <xf numFmtId="0" fontId="3" fillId="5" borderId="7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3" fontId="3" fillId="5" borderId="10" xfId="1" applyNumberFormat="1" applyFont="1" applyFill="1" applyBorder="1" applyAlignment="1">
      <alignment horizontal="center" vertical="center" wrapText="1"/>
    </xf>
    <xf numFmtId="3" fontId="3" fillId="5" borderId="0" xfId="1" applyNumberFormat="1" applyFont="1" applyFill="1" applyAlignment="1">
      <alignment horizontal="center" vertical="center" wrapText="1"/>
    </xf>
    <xf numFmtId="3" fontId="3" fillId="5" borderId="11" xfId="1" applyNumberFormat="1" applyFont="1" applyFill="1" applyBorder="1" applyAlignment="1">
      <alignment horizontal="center" vertical="center" wrapText="1"/>
    </xf>
    <xf numFmtId="3" fontId="7" fillId="5" borderId="10" xfId="1" applyNumberFormat="1" applyFont="1" applyFill="1" applyBorder="1" applyAlignment="1">
      <alignment horizontal="center" vertical="center" wrapText="1"/>
    </xf>
    <xf numFmtId="3" fontId="7" fillId="5" borderId="0" xfId="1" applyNumberFormat="1" applyFont="1" applyFill="1" applyAlignment="1">
      <alignment horizontal="center" vertical="center" wrapText="1"/>
    </xf>
    <xf numFmtId="3" fontId="7" fillId="5" borderId="11" xfId="1" applyNumberFormat="1" applyFont="1" applyFill="1" applyBorder="1" applyAlignment="1">
      <alignment horizontal="center" vertical="center" wrapText="1"/>
    </xf>
    <xf numFmtId="3" fontId="8" fillId="5" borderId="12" xfId="1" applyNumberFormat="1" applyFont="1" applyFill="1" applyBorder="1" applyAlignment="1">
      <alignment horizontal="center" vertical="center" wrapText="1"/>
    </xf>
    <xf numFmtId="3" fontId="8" fillId="5" borderId="13" xfId="1" applyNumberFormat="1" applyFont="1" applyFill="1" applyBorder="1" applyAlignment="1">
      <alignment horizontal="center" vertical="center" wrapText="1"/>
    </xf>
    <xf numFmtId="3" fontId="8" fillId="5" borderId="14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wrapText="1"/>
    </xf>
    <xf numFmtId="166" fontId="4" fillId="0" borderId="2" xfId="2" applyNumberFormat="1" applyFont="1" applyBorder="1" applyAlignment="1">
      <alignment wrapText="1"/>
    </xf>
    <xf numFmtId="0" fontId="10" fillId="6" borderId="0" xfId="0" applyFont="1" applyFill="1"/>
    <xf numFmtId="0" fontId="9" fillId="2" borderId="1" xfId="1" applyFont="1" applyFill="1" applyBorder="1" applyAlignment="1">
      <alignment horizontal="center" vertical="center" wrapText="1"/>
    </xf>
    <xf numFmtId="3" fontId="4" fillId="0" borderId="2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3" fillId="3" borderId="15" xfId="1" applyFont="1" applyFill="1" applyBorder="1" applyAlignment="1">
      <alignment wrapText="1"/>
    </xf>
    <xf numFmtId="0" fontId="3" fillId="3" borderId="16" xfId="1" applyFont="1" applyFill="1" applyBorder="1" applyAlignment="1">
      <alignment wrapText="1"/>
    </xf>
    <xf numFmtId="0" fontId="3" fillId="3" borderId="17" xfId="1" applyFont="1" applyFill="1" applyBorder="1" applyAlignment="1">
      <alignment wrapText="1"/>
    </xf>
    <xf numFmtId="0" fontId="1" fillId="2" borderId="0" xfId="1" applyFont="1" applyFill="1" applyAlignment="1">
      <alignment wrapText="1"/>
    </xf>
    <xf numFmtId="0" fontId="4" fillId="3" borderId="0" xfId="1" applyFont="1" applyFill="1" applyAlignment="1">
      <alignment wrapText="1"/>
    </xf>
    <xf numFmtId="0" fontId="5" fillId="2" borderId="1" xfId="1" applyFont="1" applyFill="1" applyBorder="1" applyAlignment="1">
      <alignment wrapText="1"/>
    </xf>
    <xf numFmtId="0" fontId="3" fillId="4" borderId="15" xfId="1" applyFont="1" applyFill="1" applyBorder="1" applyAlignment="1">
      <alignment wrapText="1"/>
    </xf>
    <xf numFmtId="0" fontId="3" fillId="4" borderId="16" xfId="1" applyFont="1" applyFill="1" applyBorder="1" applyAlignment="1">
      <alignment wrapText="1"/>
    </xf>
    <xf numFmtId="0" fontId="3" fillId="4" borderId="17" xfId="1" applyFont="1" applyFill="1" applyBorder="1" applyAlignment="1">
      <alignment wrapText="1"/>
    </xf>
    <xf numFmtId="0" fontId="0" fillId="0" borderId="24" xfId="1" applyFont="1" applyBorder="1" applyAlignment="1">
      <alignment horizontal="left" vertical="center" wrapText="1"/>
    </xf>
    <xf numFmtId="0" fontId="0" fillId="0" borderId="25" xfId="1" applyFont="1" applyBorder="1" applyAlignment="1">
      <alignment horizontal="left" vertical="center" wrapText="1"/>
    </xf>
    <xf numFmtId="0" fontId="0" fillId="0" borderId="26" xfId="1" applyFont="1" applyBorder="1" applyAlignment="1">
      <alignment horizontal="left" vertical="center" wrapText="1"/>
    </xf>
    <xf numFmtId="0" fontId="1" fillId="2" borderId="0" xfId="1" applyFont="1" applyFill="1" applyAlignment="1">
      <alignment horizontal="center" wrapText="1"/>
    </xf>
  </cellXfs>
  <cellStyles count="3">
    <cellStyle name="Денежный" xfId="2" builtinId="4"/>
    <cellStyle name="Обычный" xfId="0" builtinId="0"/>
    <cellStyle name="Normal" xfId="1" xr:uid="{00000000-0005-0000-0000-000000000000}"/>
  </cellStyles>
  <dxfs count="2">
    <dxf>
      <font>
        <b/>
        <color rgb="FFA33A2C"/>
      </font>
    </dxf>
    <dxf>
      <font>
        <b/>
        <color rgb="FF16794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660400</xdr:colOff>
      <xdr:row>68</xdr:row>
      <xdr:rowOff>12700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53F17CFB-7622-DA8C-0707-7D4644E01A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topLeftCell="A3" zoomScale="120" zoomScaleNormal="120" workbookViewId="0">
      <selection activeCell="D10" sqref="D10"/>
    </sheetView>
  </sheetViews>
  <sheetFormatPr baseColWidth="10" defaultColWidth="8.83203125" defaultRowHeight="14"/>
  <cols>
    <col min="1" max="1" width="30" customWidth="1"/>
    <col min="2" max="2" width="24" customWidth="1"/>
    <col min="3" max="3" width="2" customWidth="1"/>
    <col min="4" max="4" width="28" customWidth="1"/>
    <col min="5" max="7" width="24" customWidth="1"/>
    <col min="8" max="8" width="2" customWidth="1"/>
    <col min="9" max="9" width="36" customWidth="1"/>
    <col min="10" max="10" width="24" customWidth="1"/>
  </cols>
  <sheetData>
    <row r="1" spans="1:10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>
      <c r="A2" s="43"/>
      <c r="B2" s="43"/>
      <c r="C2" s="43"/>
      <c r="D2" s="43"/>
      <c r="E2" s="43"/>
      <c r="F2" s="43"/>
      <c r="G2" s="43"/>
      <c r="H2" s="43"/>
      <c r="I2" s="43"/>
      <c r="J2" s="43"/>
    </row>
    <row r="3" spans="1:10" ht="1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ht="1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5">
      <c r="A5" s="15" t="s">
        <v>1</v>
      </c>
      <c r="B5" s="15" t="s">
        <v>2</v>
      </c>
      <c r="C5" s="4"/>
      <c r="D5" s="45" t="s">
        <v>3</v>
      </c>
      <c r="E5" s="45"/>
      <c r="F5" s="45"/>
      <c r="G5" s="45"/>
      <c r="H5" s="4"/>
    </row>
    <row r="6" spans="1:10" ht="15">
      <c r="A6" s="5" t="s">
        <v>4</v>
      </c>
      <c r="B6" s="6" t="s">
        <v>5</v>
      </c>
      <c r="C6" s="4"/>
      <c r="D6" s="22" t="s">
        <v>6</v>
      </c>
      <c r="E6" s="23" t="s">
        <v>7</v>
      </c>
      <c r="F6" s="23" t="s">
        <v>8</v>
      </c>
      <c r="G6" s="24" t="s">
        <v>9</v>
      </c>
      <c r="H6" s="4"/>
    </row>
    <row r="7" spans="1:10" ht="19">
      <c r="A7" s="5" t="s">
        <v>10</v>
      </c>
      <c r="B7" s="7">
        <v>200000</v>
      </c>
      <c r="C7" s="4"/>
      <c r="D7" s="28">
        <f>$B$25</f>
        <v>425200</v>
      </c>
      <c r="E7" s="29">
        <f>$D$7*$B$11</f>
        <v>111827.6</v>
      </c>
      <c r="F7" s="29">
        <f>$E$7*$B$12</f>
        <v>56025.6276</v>
      </c>
      <c r="G7" s="30">
        <f>$F$7*$B$13</f>
        <v>15182.9450796</v>
      </c>
      <c r="H7" s="4"/>
    </row>
    <row r="8" spans="1:10" ht="15">
      <c r="A8" s="5" t="s">
        <v>11</v>
      </c>
      <c r="B8" s="8">
        <f>IF($B$7&lt;=10000,IF($B$6="СНГ",Пакеты!$F$6,Пакеты!$E$6),$B$7*IF($B$6="СНГ",INDEX(Пакеты!$D$7:$D$12,MATCH($B$7,Пакеты!$A$7:$A$12,1)),INDEX(Пакеты!$C$7:$C$12,MATCH($B$7,Пакеты!$A$7:$A$12,1))))</f>
        <v>3600000</v>
      </c>
      <c r="C8" s="4"/>
      <c r="D8" s="25" t="s">
        <v>12</v>
      </c>
      <c r="E8" s="26" t="s">
        <v>13</v>
      </c>
      <c r="F8" s="26" t="s">
        <v>14</v>
      </c>
      <c r="G8" s="27" t="s">
        <v>15</v>
      </c>
      <c r="H8" s="4"/>
    </row>
    <row r="9" spans="1:10" ht="16">
      <c r="A9" s="5" t="s">
        <v>16</v>
      </c>
      <c r="B9" s="8">
        <f>IFERROR($B$8/$B$7,0)</f>
        <v>18</v>
      </c>
      <c r="C9" s="4"/>
      <c r="D9" s="31">
        <f>$B$8</f>
        <v>3600000</v>
      </c>
      <c r="E9" s="32">
        <f>IFERROR($B$8/$F$7,0)</f>
        <v>64.25630830416614</v>
      </c>
      <c r="F9" s="32">
        <f>IFERROR($B$8/$G$7,0)</f>
        <v>237.10814872386032</v>
      </c>
      <c r="G9" s="33">
        <f>IFERROR($B$8/$D$7*1000,0)</f>
        <v>8466.6039510818428</v>
      </c>
      <c r="H9" s="4"/>
    </row>
    <row r="10" spans="1:10" ht="15">
      <c r="A10" s="5" t="s">
        <v>17</v>
      </c>
      <c r="B10" s="9" t="s">
        <v>18</v>
      </c>
      <c r="C10" s="4"/>
      <c r="D10" s="4"/>
      <c r="E10" s="4"/>
      <c r="F10" s="4"/>
      <c r="G10" s="4"/>
      <c r="H10" s="4"/>
    </row>
    <row r="11" spans="1:10" ht="15">
      <c r="A11" s="5" t="s">
        <v>19</v>
      </c>
      <c r="B11" s="10">
        <f>IFERROR(INDEX(Конверсии!$B$6:$B$7,MATCH($B$10,Конверсии!$A$6:$A$7,0)),0)</f>
        <v>0.26300000000000001</v>
      </c>
      <c r="C11" s="4"/>
      <c r="D11" s="46" t="str">
        <f>IF($G$21-$B$8&gt;=0,"Эффект к HR-часам: +"&amp;TEXT($G$21-$B$8,"#,##0")&amp;" ₽. Это стоимость снятых HR-часов "&amp;TEXT($G$21,"#,##0")&amp;" ₽ минус цена AI "&amp;TEXT($B$8,"#,##0")&amp;" ₽.","Эффект к HR-часам: "&amp;TEXT($G$21-$B$8,"#,##0")&amp;" ₽. Это стоимость снятых HR-часов "&amp;TEXT($G$21,"#,##0")&amp;" ₽ минус цена AI "&amp;TEXT($B$8,"#,##0")&amp;" ₽.")</f>
        <v>Эффект к HR-часам: +5545896,093 ₽. Это стоимость снятых HR-часов 9145896,093 ₽ минус цена AI 3600000,0 ₽.</v>
      </c>
      <c r="E11" s="47"/>
      <c r="F11" s="47"/>
      <c r="G11" s="48"/>
      <c r="H11" s="4"/>
    </row>
    <row r="12" spans="1:10" ht="15">
      <c r="A12" s="5" t="s">
        <v>20</v>
      </c>
      <c r="B12" s="10">
        <f>IFERROR(INDEX(Конверсии!$C$6:$C$7,MATCH($B$10,Конверсии!$A$6:$A$7,0)),0)</f>
        <v>0.501</v>
      </c>
      <c r="C12" s="4"/>
      <c r="D12" s="4"/>
      <c r="E12" s="4"/>
      <c r="F12" s="4"/>
      <c r="G12" s="4"/>
      <c r="H12" s="4"/>
    </row>
    <row r="13" spans="1:10" ht="15">
      <c r="A13" s="5" t="s">
        <v>21</v>
      </c>
      <c r="B13" s="10">
        <f>IFERROR(INDEX(Конверсии!$D$6:$D$7,MATCH($B$10,Конверсии!$A$6:$A$7,0)),0)</f>
        <v>0.27100000000000002</v>
      </c>
      <c r="C13" s="4"/>
      <c r="D13" s="40" t="s">
        <v>22</v>
      </c>
      <c r="E13" s="41"/>
      <c r="F13" s="41"/>
      <c r="G13" s="42"/>
      <c r="H13" s="4"/>
    </row>
    <row r="14" spans="1:10" ht="15">
      <c r="A14" s="5" t="s">
        <v>23</v>
      </c>
      <c r="B14" s="11">
        <v>21260</v>
      </c>
      <c r="C14" s="4"/>
      <c r="D14" s="34" t="s">
        <v>24</v>
      </c>
      <c r="E14" s="37" t="s">
        <v>25</v>
      </c>
      <c r="F14" s="37" t="s">
        <v>26</v>
      </c>
      <c r="G14" s="37" t="s">
        <v>27</v>
      </c>
      <c r="H14" s="4"/>
    </row>
    <row r="15" spans="1:10" ht="15">
      <c r="A15" s="5" t="s">
        <v>28</v>
      </c>
      <c r="B15" s="12">
        <v>3000</v>
      </c>
      <c r="C15" s="4"/>
      <c r="D15" s="5" t="s">
        <v>29</v>
      </c>
      <c r="E15" s="38">
        <f>$D$7</f>
        <v>425200</v>
      </c>
      <c r="F15" s="38">
        <f>$D$7</f>
        <v>425200</v>
      </c>
      <c r="G15" s="38" t="s">
        <v>30</v>
      </c>
      <c r="H15" s="4"/>
    </row>
    <row r="16" spans="1:10" ht="30">
      <c r="A16" s="5" t="s">
        <v>31</v>
      </c>
      <c r="B16" s="13">
        <v>1</v>
      </c>
      <c r="C16" s="4"/>
      <c r="D16" s="5" t="s">
        <v>8</v>
      </c>
      <c r="E16" s="38">
        <f>$F$7</f>
        <v>56025.6276</v>
      </c>
      <c r="F16" s="38">
        <f>$F$7</f>
        <v>56025.6276</v>
      </c>
      <c r="G16" s="38" t="str">
        <f>TEXT($G$20,"#,##0")&amp;" ч не делает рекрутер"</f>
        <v>18291,792 ч не делает рекрутер</v>
      </c>
      <c r="H16" s="4"/>
    </row>
    <row r="17" spans="1:8" ht="23.25" customHeight="1">
      <c r="A17" s="5" t="s">
        <v>32</v>
      </c>
      <c r="B17" s="13">
        <v>15</v>
      </c>
      <c r="C17" s="4"/>
      <c r="D17" s="5" t="s">
        <v>9</v>
      </c>
      <c r="E17" s="38" t="s">
        <v>33</v>
      </c>
      <c r="F17" s="38">
        <f>$G$7</f>
        <v>15182.9450796</v>
      </c>
      <c r="G17" s="38" t="s">
        <v>34</v>
      </c>
      <c r="H17" s="4"/>
    </row>
    <row r="18" spans="1:8" ht="27.75" customHeight="1">
      <c r="A18" s="5" t="s">
        <v>35</v>
      </c>
      <c r="B18" s="12">
        <v>80000</v>
      </c>
      <c r="C18" s="4"/>
      <c r="D18" s="5" t="s">
        <v>36</v>
      </c>
      <c r="E18" s="38">
        <f>($D$7*$B$16+$F$7*$B$17)/60</f>
        <v>21093.073566666666</v>
      </c>
      <c r="F18" s="38"/>
      <c r="G18" s="38" t="s">
        <v>37</v>
      </c>
      <c r="H18" s="4"/>
    </row>
    <row r="19" spans="1:8" ht="27.75" customHeight="1">
      <c r="A19" s="5" t="s">
        <v>38</v>
      </c>
      <c r="B19" s="14">
        <v>160</v>
      </c>
      <c r="C19" s="4"/>
      <c r="D19" s="5" t="s">
        <v>39</v>
      </c>
      <c r="E19" s="38"/>
      <c r="F19" s="38">
        <f>$F$7*$B$20/60</f>
        <v>2801.2813799999999</v>
      </c>
      <c r="G19" s="38" t="s">
        <v>40</v>
      </c>
      <c r="H19" s="4"/>
    </row>
    <row r="20" spans="1:8" ht="15">
      <c r="A20" s="5" t="s">
        <v>41</v>
      </c>
      <c r="B20" s="13">
        <v>3</v>
      </c>
      <c r="C20" s="4"/>
      <c r="D20" s="5" t="s">
        <v>42</v>
      </c>
      <c r="E20" s="38"/>
      <c r="F20" s="38"/>
      <c r="G20" s="38">
        <f>MAX(0,E18-F19)</f>
        <v>18291.792186666666</v>
      </c>
      <c r="H20" s="4"/>
    </row>
    <row r="21" spans="1:8" ht="15">
      <c r="C21" s="4"/>
      <c r="D21" s="5" t="s">
        <v>43</v>
      </c>
      <c r="E21" s="38"/>
      <c r="F21" s="38"/>
      <c r="G21" s="38">
        <f>G20*$B$18/$B$19</f>
        <v>9145896.0933333319</v>
      </c>
      <c r="H21" s="4"/>
    </row>
    <row r="22" spans="1:8" ht="30">
      <c r="C22" s="4"/>
      <c r="D22" s="5" t="s">
        <v>44</v>
      </c>
      <c r="E22" s="38"/>
      <c r="F22" s="38"/>
      <c r="G22" s="39">
        <f>G20/$B$19</f>
        <v>114.32370116666667</v>
      </c>
      <c r="H22" s="4"/>
    </row>
    <row r="23" spans="1:8" ht="15">
      <c r="A23" s="4"/>
      <c r="B23" s="4"/>
      <c r="C23" s="4"/>
      <c r="D23" s="4"/>
      <c r="E23" s="4"/>
      <c r="F23" s="4"/>
      <c r="G23" s="4"/>
      <c r="H23" s="4"/>
    </row>
    <row r="24" spans="1:8" ht="30">
      <c r="A24" s="5" t="s">
        <v>45</v>
      </c>
      <c r="B24" s="8">
        <f>ROUND($B$14*$B$7/10000,0)</f>
        <v>425200</v>
      </c>
      <c r="C24" s="4"/>
      <c r="D24" s="4"/>
      <c r="E24" s="4"/>
      <c r="F24" s="4"/>
      <c r="G24" s="4"/>
      <c r="H24" s="4"/>
    </row>
    <row r="25" spans="1:8" ht="15">
      <c r="A25" s="5" t="s">
        <v>46</v>
      </c>
      <c r="B25" s="8">
        <f>$B$24</f>
        <v>425200</v>
      </c>
      <c r="C25" s="4"/>
      <c r="D25" s="40" t="s">
        <v>47</v>
      </c>
      <c r="E25" s="41"/>
      <c r="F25" s="41"/>
      <c r="G25" s="42"/>
      <c r="H25" s="4"/>
    </row>
    <row r="26" spans="1:8" ht="15">
      <c r="A26" s="4"/>
      <c r="B26" s="4"/>
      <c r="C26" s="4"/>
      <c r="D26" s="34" t="s">
        <v>48</v>
      </c>
      <c r="E26" s="34" t="s">
        <v>49</v>
      </c>
      <c r="F26" s="34" t="s">
        <v>50</v>
      </c>
      <c r="G26" s="34" t="s">
        <v>51</v>
      </c>
      <c r="H26" s="4"/>
    </row>
    <row r="27" spans="1:8" ht="15">
      <c r="A27" s="15" t="s">
        <v>52</v>
      </c>
      <c r="B27" s="15" t="s">
        <v>2</v>
      </c>
      <c r="C27" s="4"/>
      <c r="D27" s="5" t="s">
        <v>53</v>
      </c>
      <c r="E27" s="35">
        <f>$G$21</f>
        <v>9145896.0933333319</v>
      </c>
      <c r="F27" s="35">
        <f>$B$8</f>
        <v>3600000</v>
      </c>
      <c r="G27" s="35">
        <f>E27-F27</f>
        <v>5545896.0933333319</v>
      </c>
      <c r="H27" s="4"/>
    </row>
    <row r="28" spans="1:8" ht="15">
      <c r="A28" s="5" t="s">
        <v>54</v>
      </c>
      <c r="B28" s="11">
        <v>17</v>
      </c>
      <c r="C28" s="4"/>
      <c r="D28" s="5" t="s">
        <v>55</v>
      </c>
      <c r="E28" s="35">
        <f>($D$7*$B$16+$F$7*$B$17)*$B$28</f>
        <v>21514935.037999999</v>
      </c>
      <c r="F28" s="35">
        <f>$B$8</f>
        <v>3600000</v>
      </c>
      <c r="G28" s="35">
        <f>E28-F28</f>
        <v>17914935.037999999</v>
      </c>
      <c r="H28" s="4"/>
    </row>
    <row r="29" spans="1:8" ht="15">
      <c r="A29" s="5" t="s">
        <v>56</v>
      </c>
      <c r="B29" s="7">
        <v>149</v>
      </c>
      <c r="C29" s="4"/>
      <c r="D29" s="5" t="s">
        <v>57</v>
      </c>
      <c r="E29" s="35">
        <f>$F$7*$B$29</f>
        <v>8347818.5124000004</v>
      </c>
      <c r="F29" s="35">
        <f>$B$8</f>
        <v>3600000</v>
      </c>
      <c r="G29" s="35">
        <f>E29-F29</f>
        <v>4747818.5124000004</v>
      </c>
      <c r="H29" s="4"/>
    </row>
    <row r="30" spans="1:8" ht="15">
      <c r="C30" s="4"/>
      <c r="H30" s="4"/>
    </row>
  </sheetData>
  <mergeCells count="6">
    <mergeCell ref="D25:G25"/>
    <mergeCell ref="A1:J2"/>
    <mergeCell ref="A3:J3"/>
    <mergeCell ref="D5:G5"/>
    <mergeCell ref="D11:G11"/>
    <mergeCell ref="D13:G13"/>
  </mergeCells>
  <conditionalFormatting sqref="G27:G29">
    <cfRule type="cellIs" dxfId="1" priority="1" operator="greaterThanOrEqual">
      <formula>0</formula>
    </cfRule>
    <cfRule type="cellIs" dxfId="0" priority="2" operator="lessThan">
      <formula>0</formula>
    </cfRule>
  </conditionalFormatting>
  <dataValidations count="1">
    <dataValidation type="list" sqref="B6" xr:uid="{00000000-0002-0000-0000-000000000000}">
      <formula1>"Ин.яз + РУ,СНГ"</formula1>
    </dataValidation>
  </dataValidations>
  <pageMargins left="0.7" right="0.7" top="0.75" bottom="0.75" header="0.3" footer="0.3"/>
  <headerFooter>
    <oddHeader>&amp;R&amp;"Aptos"&amp;14&amp;KFF0000 Confidential&amp;1#_x000D_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Конверсии!$A$6:$A$7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selection activeCell="D15" sqref="D15"/>
    </sheetView>
  </sheetViews>
  <sheetFormatPr baseColWidth="10" defaultColWidth="8.83203125" defaultRowHeight="14"/>
  <cols>
    <col min="1" max="1" width="16" customWidth="1"/>
    <col min="2" max="2" width="24" customWidth="1"/>
    <col min="3" max="3" width="20" customWidth="1"/>
    <col min="4" max="4" width="18" customWidth="1"/>
    <col min="5" max="5" width="24" customWidth="1"/>
    <col min="6" max="6" width="20" customWidth="1"/>
    <col min="7" max="7" width="68" customWidth="1"/>
  </cols>
  <sheetData>
    <row r="1" spans="1:7">
      <c r="A1" s="43" t="s">
        <v>58</v>
      </c>
      <c r="B1" s="43"/>
      <c r="C1" s="43"/>
      <c r="D1" s="43"/>
      <c r="E1" s="43"/>
      <c r="F1" s="43"/>
      <c r="G1" s="43"/>
    </row>
    <row r="2" spans="1:7">
      <c r="A2" s="43"/>
      <c r="B2" s="43"/>
      <c r="C2" s="43"/>
      <c r="D2" s="43"/>
      <c r="E2" s="43"/>
      <c r="F2" s="43"/>
      <c r="G2" s="43"/>
    </row>
    <row r="4" spans="1:7" ht="15" customHeight="1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</row>
    <row r="5" spans="1:7" ht="15" customHeight="1">
      <c r="A5" s="1"/>
      <c r="B5" s="1"/>
      <c r="C5" s="1"/>
      <c r="D5" s="1"/>
      <c r="E5" s="1"/>
      <c r="F5" s="1"/>
      <c r="G5" s="1"/>
    </row>
    <row r="6" spans="1:7" ht="15" customHeight="1">
      <c r="A6" s="3">
        <v>0</v>
      </c>
      <c r="B6" s="1" t="s">
        <v>66</v>
      </c>
      <c r="C6" s="3"/>
      <c r="D6" s="3"/>
      <c r="E6" s="3">
        <v>300000</v>
      </c>
      <c r="F6" s="3">
        <v>320000</v>
      </c>
      <c r="G6" s="1" t="s">
        <v>67</v>
      </c>
    </row>
    <row r="7" spans="1:7" ht="15" customHeight="1">
      <c r="A7" s="3">
        <v>10001</v>
      </c>
      <c r="B7" s="1" t="s">
        <v>68</v>
      </c>
      <c r="C7" s="3">
        <v>29</v>
      </c>
      <c r="D7" s="3">
        <v>31</v>
      </c>
      <c r="E7" s="3"/>
      <c r="F7" s="3"/>
      <c r="G7" s="49" t="s">
        <v>69</v>
      </c>
    </row>
    <row r="8" spans="1:7" ht="15" customHeight="1">
      <c r="A8" s="3">
        <v>30001</v>
      </c>
      <c r="B8" s="1" t="s">
        <v>70</v>
      </c>
      <c r="C8" s="3">
        <v>26</v>
      </c>
      <c r="D8" s="3">
        <v>28</v>
      </c>
      <c r="E8" s="3"/>
      <c r="F8" s="3"/>
      <c r="G8" s="50"/>
    </row>
    <row r="9" spans="1:7" ht="15" customHeight="1">
      <c r="A9" s="3">
        <v>50001</v>
      </c>
      <c r="B9" s="1" t="s">
        <v>71</v>
      </c>
      <c r="C9" s="3">
        <v>23</v>
      </c>
      <c r="D9" s="3">
        <v>25</v>
      </c>
      <c r="E9" s="3"/>
      <c r="F9" s="3"/>
      <c r="G9" s="50"/>
    </row>
    <row r="10" spans="1:7" ht="15" customHeight="1">
      <c r="A10" s="3">
        <v>100001</v>
      </c>
      <c r="B10" s="1" t="s">
        <v>72</v>
      </c>
      <c r="C10" s="3">
        <v>21</v>
      </c>
      <c r="D10" s="3">
        <v>23</v>
      </c>
      <c r="E10" s="3"/>
      <c r="F10" s="3"/>
      <c r="G10" s="50"/>
    </row>
    <row r="11" spans="1:7" ht="15" customHeight="1">
      <c r="A11" s="3">
        <v>150001</v>
      </c>
      <c r="B11" s="1" t="s">
        <v>73</v>
      </c>
      <c r="C11" s="3">
        <v>18</v>
      </c>
      <c r="D11" s="3">
        <v>20</v>
      </c>
      <c r="E11" s="3"/>
      <c r="F11" s="3"/>
      <c r="G11" s="50"/>
    </row>
    <row r="12" spans="1:7" ht="15" customHeight="1">
      <c r="A12" s="3">
        <v>200001</v>
      </c>
      <c r="B12" s="1" t="s">
        <v>74</v>
      </c>
      <c r="C12" s="3">
        <v>15</v>
      </c>
      <c r="D12" s="3">
        <v>15</v>
      </c>
      <c r="E12" s="3"/>
      <c r="F12" s="3"/>
      <c r="G12" s="51"/>
    </row>
    <row r="13" spans="1:7" ht="15" customHeight="1"/>
    <row r="14" spans="1:7" ht="15" customHeight="1"/>
  </sheetData>
  <mergeCells count="2">
    <mergeCell ref="A1:G2"/>
    <mergeCell ref="G7:G12"/>
  </mergeCells>
  <pageMargins left="0.7" right="0.7" top="0.75" bottom="0.75" header="0.3" footer="0.3"/>
  <headerFooter>
    <oddHeader>&amp;R&amp;"Aptos"&amp;14&amp;KFF0000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A15" sqref="A15"/>
    </sheetView>
  </sheetViews>
  <sheetFormatPr baseColWidth="10" defaultColWidth="8.83203125" defaultRowHeight="14"/>
  <cols>
    <col min="1" max="1" width="24" customWidth="1"/>
    <col min="2" max="2" width="18" customWidth="1"/>
    <col min="3" max="3" width="20" customWidth="1"/>
    <col min="4" max="4" width="24" customWidth="1"/>
    <col min="5" max="5" width="23.83203125" customWidth="1"/>
    <col min="6" max="6" width="22.6640625" bestFit="1" customWidth="1"/>
  </cols>
  <sheetData>
    <row r="1" spans="1:8" ht="14" customHeight="1">
      <c r="A1" s="52" t="s">
        <v>75</v>
      </c>
      <c r="B1" s="52"/>
      <c r="C1" s="52"/>
      <c r="D1" s="52"/>
      <c r="E1" s="52"/>
      <c r="F1" s="52"/>
    </row>
    <row r="2" spans="1:8" ht="14" customHeight="1">
      <c r="A2" s="52"/>
      <c r="B2" s="52"/>
      <c r="C2" s="52"/>
      <c r="D2" s="52"/>
      <c r="E2" s="52"/>
      <c r="F2" s="52"/>
    </row>
    <row r="4" spans="1:8" ht="15" customHeight="1">
      <c r="A4" s="2" t="s">
        <v>76</v>
      </c>
      <c r="B4" s="2" t="s">
        <v>19</v>
      </c>
      <c r="C4" s="2" t="s">
        <v>20</v>
      </c>
      <c r="D4" s="2" t="s">
        <v>21</v>
      </c>
      <c r="E4" s="2" t="s">
        <v>77</v>
      </c>
      <c r="F4" s="2" t="s">
        <v>78</v>
      </c>
    </row>
    <row r="5" spans="1:8" ht="15" customHeight="1">
      <c r="A5" s="1"/>
      <c r="B5" s="1"/>
      <c r="C5" s="1"/>
      <c r="D5" s="1"/>
    </row>
    <row r="6" spans="1:8" ht="15" customHeight="1">
      <c r="A6" s="1" t="s">
        <v>18</v>
      </c>
      <c r="B6" s="16">
        <v>0.26300000000000001</v>
      </c>
      <c r="C6" s="17">
        <v>0.501</v>
      </c>
      <c r="D6" s="18">
        <v>0.27100000000000002</v>
      </c>
      <c r="E6" s="18">
        <v>0.13200000000000001</v>
      </c>
      <c r="F6" s="18">
        <v>3.5999999999999997E-2</v>
      </c>
      <c r="H6" t="s">
        <v>79</v>
      </c>
    </row>
    <row r="7" spans="1:8" ht="15" customHeight="1">
      <c r="A7" s="1" t="s">
        <v>80</v>
      </c>
      <c r="B7" s="19">
        <v>0.18</v>
      </c>
      <c r="C7" s="20">
        <v>0.372</v>
      </c>
      <c r="D7" s="21">
        <v>0.25</v>
      </c>
      <c r="E7" s="21">
        <v>5.2999999999999999E-2</v>
      </c>
      <c r="F7" s="21">
        <v>1.2999999999999999E-2</v>
      </c>
    </row>
    <row r="8" spans="1:8">
      <c r="H8" s="36" t="s">
        <v>81</v>
      </c>
    </row>
    <row r="9" spans="1:8">
      <c r="H9" s="36" t="s">
        <v>82</v>
      </c>
    </row>
  </sheetData>
  <mergeCells count="1">
    <mergeCell ref="A1:F2"/>
  </mergeCells>
  <pageMargins left="0.7" right="0.7" top="0.75" bottom="0.75" header="0.3" footer="0.3"/>
  <headerFooter>
    <oddHeader>&amp;R&amp;"Aptos"&amp;14&amp;KFF0000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selection activeCell="B9" sqref="B9"/>
    </sheetView>
  </sheetViews>
  <sheetFormatPr baseColWidth="10" defaultColWidth="8.83203125" defaultRowHeight="14"/>
  <cols>
    <col min="1" max="1" width="30" customWidth="1"/>
    <col min="2" max="3" width="24" customWidth="1"/>
    <col min="4" max="4" width="84" customWidth="1"/>
  </cols>
  <sheetData>
    <row r="1" spans="1:4">
      <c r="A1" s="43" t="s">
        <v>83</v>
      </c>
      <c r="B1" s="43"/>
      <c r="C1" s="43"/>
      <c r="D1" s="43"/>
    </row>
    <row r="2" spans="1:4">
      <c r="A2" s="43"/>
      <c r="B2" s="43"/>
      <c r="C2" s="43"/>
      <c r="D2" s="43"/>
    </row>
    <row r="4" spans="1:4" ht="15" customHeight="1">
      <c r="A4" s="2" t="s">
        <v>84</v>
      </c>
      <c r="B4" s="2" t="s">
        <v>85</v>
      </c>
      <c r="C4" s="2" t="s">
        <v>86</v>
      </c>
      <c r="D4" s="2" t="s">
        <v>65</v>
      </c>
    </row>
    <row r="5" spans="1:4" ht="15" customHeight="1">
      <c r="A5" s="1"/>
      <c r="B5" s="1"/>
      <c r="C5" s="1"/>
      <c r="D5" s="1"/>
    </row>
    <row r="6" spans="1:4" ht="15" customHeight="1">
      <c r="A6" s="1" t="s">
        <v>53</v>
      </c>
      <c r="B6" s="3">
        <v>80000</v>
      </c>
      <c r="C6" s="1" t="s">
        <v>87</v>
      </c>
      <c r="D6" s="1" t="s">
        <v>88</v>
      </c>
    </row>
    <row r="7" spans="1:4" ht="15" customHeight="1">
      <c r="A7" s="1" t="s">
        <v>55</v>
      </c>
      <c r="B7" s="3">
        <v>17</v>
      </c>
      <c r="C7" s="1" t="s">
        <v>89</v>
      </c>
      <c r="D7" s="1" t="s">
        <v>90</v>
      </c>
    </row>
    <row r="8" spans="1:4" ht="15" customHeight="1">
      <c r="A8" s="1" t="s">
        <v>91</v>
      </c>
      <c r="B8" s="3">
        <v>190</v>
      </c>
      <c r="C8" s="1" t="s">
        <v>92</v>
      </c>
      <c r="D8" s="1" t="s">
        <v>93</v>
      </c>
    </row>
  </sheetData>
  <mergeCells count="1">
    <mergeCell ref="A1:D2"/>
  </mergeCells>
  <pageMargins left="0.7" right="0.7" top="0.75" bottom="0.75" header="0.3" footer="0.3"/>
  <headerFooter>
    <oddHeader>&amp;R&amp;"Aptos"&amp;14&amp;KFF0000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8F19F2DF4F421448261C256E67B00FE" ma:contentTypeVersion="12" ma:contentTypeDescription="Создание документа." ma:contentTypeScope="" ma:versionID="e5dad80cda074bfd348738c9f7126cf9">
  <xsd:schema xmlns:xsd="http://www.w3.org/2001/XMLSchema" xmlns:xs="http://www.w3.org/2001/XMLSchema" xmlns:p="http://schemas.microsoft.com/office/2006/metadata/properties" xmlns:ns2="b6673a24-ce55-4cfd-966f-5400037111fc" xmlns:ns3="b735af96-cfcb-469a-832e-bd71c47c55db" targetNamespace="http://schemas.microsoft.com/office/2006/metadata/properties" ma:root="true" ma:fieldsID="6991f4b5bb52670e685199cd83d3f5b8" ns2:_="" ns3:_="">
    <xsd:import namespace="b6673a24-ce55-4cfd-966f-5400037111fc"/>
    <xsd:import namespace="b735af96-cfcb-469a-832e-bd71c47c5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73a24-ce55-4cfd-966f-5400037111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990f54e7-4f39-4c3d-9fce-b824a7ce7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5af96-cfcb-469a-832e-bd71c47c55d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817b99-3cde-4a34-83c4-06da53cf076e}" ma:internalName="TaxCatchAll" ma:showField="CatchAllData" ma:web="b735af96-cfcb-469a-832e-bd71c47c5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673a24-ce55-4cfd-966f-5400037111fc">
      <Terms xmlns="http://schemas.microsoft.com/office/infopath/2007/PartnerControls"/>
    </lcf76f155ced4ddcb4097134ff3c332f>
    <TaxCatchAll xmlns="b735af96-cfcb-469a-832e-bd71c47c55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3A0D83-3864-48D0-AD97-296875F92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673a24-ce55-4cfd-966f-5400037111fc"/>
    <ds:schemaRef ds:uri="b735af96-cfcb-469a-832e-bd71c47c5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CB64FB-FCAF-4FEE-9CB9-58ABA26B5DA5}">
  <ds:schemaRefs>
    <ds:schemaRef ds:uri="http://schemas.microsoft.com/office/2006/metadata/properties"/>
    <ds:schemaRef ds:uri="http://schemas.microsoft.com/office/infopath/2007/PartnerControls"/>
    <ds:schemaRef ds:uri="b6673a24-ce55-4cfd-966f-5400037111fc"/>
    <ds:schemaRef ds:uri="b735af96-cfcb-469a-832e-bd71c47c55db"/>
  </ds:schemaRefs>
</ds:datastoreItem>
</file>

<file path=customXml/itemProps3.xml><?xml version="1.0" encoding="utf-8"?>
<ds:datastoreItem xmlns:ds="http://schemas.openxmlformats.org/officeDocument/2006/customXml" ds:itemID="{0BD4CAC9-D83D-4F75-866F-5B916FEA257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88e938-7bbc-433c-a157-8da692c6ab53}" enabled="1" method="Standard" siteId="{13c9e0ab-7b47-4e04-a41e-462825be61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Калькулятор</vt:lpstr>
      <vt:lpstr>Пакеты</vt:lpstr>
      <vt:lpstr>Конверсии</vt:lpstr>
      <vt:lpstr>Рынок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Ivan Lushnikov</cp:lastModifiedBy>
  <cp:revision/>
  <dcterms:created xsi:type="dcterms:W3CDTF">2026-08-05T14:25:23Z</dcterms:created>
  <dcterms:modified xsi:type="dcterms:W3CDTF">2026-08-19T07:36:39Z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0x01010008F19F2DF4F421448261C256E67B00FE</vt:lpwstr>
  </property>
  <property fmtid="{D5CDD505-2E9C-101B-9397-08002B2CF9AE}" pid="3" name="MediaServiceImageTags">
    <vt:lpwstr/>
  </property>
</Properties>
</file>